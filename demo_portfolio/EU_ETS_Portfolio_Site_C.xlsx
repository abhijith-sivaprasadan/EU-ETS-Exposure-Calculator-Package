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Dashboard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€#,##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</font>
    <font>
      <color rgb="000000FF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wrapText="1"/>
    </xf>
    <xf numFmtId="2" fontId="7" fillId="0" borderId="0" pivotButton="0" quotePrefix="0" xfId="0"/>
    <xf numFmtId="2" fontId="4" fillId="2" borderId="1" applyAlignment="1" pivotButton="0" quotePrefix="0" xfId="0">
      <alignment horizontal="center" vertical="center" wrapText="1"/>
    </xf>
    <xf numFmtId="165" fontId="7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by EUA scenario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'Dashboard'!G4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'Dashboard'!$E$5:$E$7</f>
              <strCache>
                <ptCount val="0"/>
              </strCache>
            </strRef>
          </cat>
          <val>
            <numRef>
              <f>'Dashboard'!$G$5:$G$7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over time (selected scenario)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'Calc'!M3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'Calc'!$A$4:$A$27</f>
              <strCache>
                <ptCount val="0"/>
              </strCache>
            </strRef>
          </cat>
          <val>
            <numRef>
              <f>'Calc'!$M$4:$M$27</f>
              <numCach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Emissions breakdown (tCO₂)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'Dashboard'!$D$4:$D$6</f>
              <strCache>
                <ptCount val="0"/>
              </strCache>
            </strRef>
          </cat>
          <val>
            <numRef>
              <f>'Dashboard'!$E$4:$E$6</f>
              <numCache>
                <formatCode>General</formatCode>
                <ptCount val="0"/>
              </numCache>
            </numRef>
          </val>
        </ser>
        <dLbls>
          <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  <a:r>
                <a:t>None</a:t>
              </a:r>
            </a:p>
          </txPr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13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13</row>
      <rowOff>0</rowOff>
    </from>
    <to>
      <col>2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inputs" displayName="tbl_inputs" ref="A5:H29" headerRowCount="1">
  <autoFilter ref="A5:H29"/>
  <tableColumns count="8">
    <tableColumn id="1" name="Period"/>
    <tableColumn id="2" name="Electricity (MWh)"/>
    <tableColumn id="3" name="Natural gas (Nm³)"/>
    <tableColumn id="4" name="Natural gas (MWh) [optional]"/>
    <tableColumn id="5" name="Other fuel (MWh)"/>
    <tableColumn id="6" name="Steam (MWh)"/>
    <tableColumn id="7" name="Production (t) [optional]"/>
    <tableColumn id="8" name="Electricity price (€/MWh) [optional]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Energy Cost + EU ETS Exposure Calculator (Demo)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Decision tool to estimate CO₂ emissions and EU ETS cost exposure from electricity + fuels, with EUA price scenarios and sensitivity outputs.</t>
        </is>
      </c>
    </row>
    <row r="5" ht="20" customHeight="1"/>
    <row r="6" ht="20" customHeight="1">
      <c r="A6" s="2" t="inlineStr">
        <is>
          <t>How to use</t>
        </is>
      </c>
    </row>
    <row r="7" ht="20" customHeight="1">
      <c r="A7" t="inlineStr">
        <is>
          <t>1) Enter activity data by period in Inputs (electricity MWh, gas in Nm³ or MWh, other fuels/steam if relevant).</t>
        </is>
      </c>
    </row>
    <row r="8" ht="20" customHeight="1">
      <c r="A8" t="inlineStr">
        <is>
          <t>2) Set emission factors and EUA price scenarios in Factors.</t>
        </is>
      </c>
    </row>
    <row r="9" ht="20" customHeight="1">
      <c r="A9" t="inlineStr">
        <is>
          <t>3) Pick an EUA scenario in Inputs; view totals, sensitivity and charts in Dashboard.</t>
        </is>
      </c>
    </row>
    <row r="10" ht="20" customHeight="1"/>
    <row r="11" ht="20" customHeight="1">
      <c r="A11" s="2" t="inlineStr">
        <is>
          <t>Important notes (read me)</t>
        </is>
      </c>
    </row>
    <row r="12" ht="20" customHeight="1">
      <c r="A12" t="inlineStr">
        <is>
          <t>• EU ETS cost exposure here is calculated for direct (Scope 1) fuel combustion emissions. Electricity emissions are shown separately as Scope 2 (not direct ETS cost for industrial consumers).</t>
        </is>
      </c>
    </row>
    <row r="13" ht="20" customHeight="1">
      <c r="A13" t="inlineStr">
        <is>
          <t>• This is a demo template. Replace emission factors and conversions with site-approved values (supplier-specific / national / corporate guidance).</t>
        </is>
      </c>
    </row>
    <row r="14" ht="20" customHeight="1">
      <c r="A14" t="inlineStr">
        <is>
          <t>• If you want to treat electricity carbon as a 'proxy cost' (pass-through), add a policy assumption explicitly.</t>
        </is>
      </c>
    </row>
    <row r="15" ht="20" customHeight="1"/>
    <row r="16" ht="20" customHeight="1"/>
    <row r="17" ht="20" customHeight="1"/>
    <row r="18" ht="20" customHeight="1"/>
    <row r="1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5" customWidth="1" min="4" max="4"/>
  </cols>
  <sheetData>
    <row r="1">
      <c r="A1" s="3" t="inlineStr">
        <is>
          <t>Assumptions &amp; Parameters (blue cells = edit)</t>
        </is>
      </c>
    </row>
    <row r="2"/>
    <row r="3">
      <c r="A3" s="4" t="inlineStr">
        <is>
          <t>Emission factors</t>
        </is>
      </c>
    </row>
    <row r="4" ht="22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Units</t>
        </is>
      </c>
      <c r="D4" s="5" t="inlineStr">
        <is>
          <t>Notes</t>
        </is>
      </c>
    </row>
    <row r="5">
      <c r="A5" s="6" t="inlineStr">
        <is>
          <t>Natural gas EF (tCO₂/MWh)</t>
        </is>
      </c>
      <c r="B5" s="7" t="n">
        <v>0.202</v>
      </c>
      <c r="C5" s="8" t="inlineStr">
        <is>
          <t>tCO₂/MWh</t>
        </is>
      </c>
      <c r="D5" s="6" t="inlineStr">
        <is>
          <t>Typical combustion factor; replace with site factor</t>
        </is>
      </c>
    </row>
    <row r="6">
      <c r="A6" s="6" t="inlineStr">
        <is>
          <t>Other fuel EF (tCO₂/MWh)</t>
        </is>
      </c>
      <c r="B6" s="7" t="n">
        <v>0.27</v>
      </c>
      <c r="C6" s="8" t="inlineStr">
        <is>
          <t>tCO₂/MWh</t>
        </is>
      </c>
      <c r="D6" s="6" t="inlineStr">
        <is>
          <t>Placeholder (e.g., fuel oil); replace</t>
        </is>
      </c>
    </row>
    <row r="7">
      <c r="A7" s="6" t="inlineStr">
        <is>
          <t>Steam EF (tCO₂/MWh)</t>
        </is>
      </c>
      <c r="B7" s="7" t="n">
        <v>0.1</v>
      </c>
      <c r="C7" s="8" t="inlineStr">
        <is>
          <t>tCO₂/MWh</t>
        </is>
      </c>
      <c r="D7" s="6" t="inlineStr">
        <is>
          <t>If purchased steam; else set 0</t>
        </is>
      </c>
    </row>
    <row r="8">
      <c r="A8" s="6" t="inlineStr">
        <is>
          <t>Electricity grid EF (tCO₂/MWh)</t>
        </is>
      </c>
      <c r="B8" s="7" t="n">
        <v>0.12</v>
      </c>
      <c r="C8" s="8" t="inlineStr">
        <is>
          <t>tCO₂/MWh</t>
        </is>
      </c>
      <c r="D8" s="6" t="inlineStr">
        <is>
          <t>For Scope 2 reporting/proxy; replace with market-based/location-based factor</t>
        </is>
      </c>
    </row>
    <row r="9">
      <c r="A9" s="6" t="inlineStr">
        <is>
          <t>Gas conversion (kWh per Nm³)</t>
        </is>
      </c>
      <c r="B9" s="7" t="n">
        <v>10.55</v>
      </c>
      <c r="C9" s="8" t="inlineStr">
        <is>
          <t>kWh/Nm³</t>
        </is>
      </c>
      <c r="D9" s="6" t="inlineStr">
        <is>
          <t>LHV approx; replace if using HHV or supplier value</t>
        </is>
      </c>
    </row>
    <row r="10">
      <c r="A10" t="inlineStr">
        <is>
          <t>Scope 3 proxy factor (tCO2/t)</t>
        </is>
      </c>
      <c r="B10" t="n">
        <v>0.35</v>
      </c>
      <c r="C10" t="inlineStr">
        <is>
          <t>tCO2/t</t>
        </is>
      </c>
      <c r="D10" t="inlineStr">
        <is>
          <t>Optional proxy for planning context; set to 0 to disable</t>
        </is>
      </c>
    </row>
    <row r="11"/>
    <row r="12"/>
    <row r="13">
      <c r="A13" s="4" t="inlineStr">
        <is>
          <t>EUA price scenarios</t>
        </is>
      </c>
    </row>
    <row r="14">
      <c r="A14" s="5" t="inlineStr">
        <is>
          <t>Scenario</t>
        </is>
      </c>
      <c r="B14" s="5" t="inlineStr">
        <is>
          <t>EUA price (€/tCO₂)</t>
        </is>
      </c>
      <c r="C14" s="5" t="inlineStr">
        <is>
          <t>Notes</t>
        </is>
      </c>
      <c r="D14" s="20" t="n"/>
    </row>
    <row r="15">
      <c r="A15" s="8" t="inlineStr">
        <is>
          <t>Low</t>
        </is>
      </c>
      <c r="B15" s="7" t="n">
        <v>50</v>
      </c>
      <c r="C15" s="8" t="inlineStr">
        <is>
          <t>Conservative</t>
        </is>
      </c>
      <c r="D15" s="20" t="n"/>
    </row>
    <row r="16">
      <c r="A16" s="8" t="inlineStr">
        <is>
          <t>Mid</t>
        </is>
      </c>
      <c r="B16" s="7" t="n">
        <v>85</v>
      </c>
      <c r="C16" s="8" t="inlineStr">
        <is>
          <t>Base case</t>
        </is>
      </c>
      <c r="D16" s="20" t="n"/>
    </row>
    <row r="17">
      <c r="A17" s="8" t="inlineStr">
        <is>
          <t>High</t>
        </is>
      </c>
      <c r="B17" s="7" t="n">
        <v>120</v>
      </c>
      <c r="C17" s="8" t="inlineStr">
        <is>
          <t>Stress case</t>
        </is>
      </c>
      <c r="D17" s="20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7">
    <mergeCell ref="A1:D1"/>
    <mergeCell ref="C16:D16"/>
    <mergeCell ref="C15:D15"/>
    <mergeCell ref="A3:D3"/>
    <mergeCell ref="C14:D14"/>
    <mergeCell ref="C17:D17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3" t="inlineStr">
        <is>
          <t>Inputs (blue cells = edit)</t>
        </is>
      </c>
    </row>
    <row r="3">
      <c r="A3" s="4" t="inlineStr">
        <is>
          <t>Selected EUA scenario</t>
        </is>
      </c>
      <c r="B3" s="9" t="inlineStr">
        <is>
          <t>Low</t>
        </is>
      </c>
      <c r="C3" s="10" t="inlineStr">
        <is>
          <t>Choose Low / Mid / High</t>
        </is>
      </c>
    </row>
    <row r="5" ht="28" customHeight="1">
      <c r="A5" s="5" t="inlineStr">
        <is>
          <t>Period</t>
        </is>
      </c>
      <c r="B5" s="5" t="inlineStr">
        <is>
          <t>Electricity (MWh)</t>
        </is>
      </c>
      <c r="C5" s="5" t="inlineStr">
        <is>
          <t>Natural gas (Nm³)</t>
        </is>
      </c>
      <c r="D5" s="5" t="inlineStr">
        <is>
          <t>Natural gas (MWh) [optional]</t>
        </is>
      </c>
      <c r="E5" s="5" t="inlineStr">
        <is>
          <t>Other fuel (MWh)</t>
        </is>
      </c>
      <c r="F5" s="5" t="inlineStr">
        <is>
          <t>Steam (MWh)</t>
        </is>
      </c>
      <c r="G5" s="5" t="inlineStr">
        <is>
          <t>Production (t) [optional]</t>
        </is>
      </c>
      <c r="H5" s="5" t="inlineStr">
        <is>
          <t>Electricity price (€/MWh) [optional]</t>
        </is>
      </c>
    </row>
    <row r="6">
      <c r="A6" s="8" t="inlineStr">
        <is>
          <t>2024-01</t>
        </is>
      </c>
      <c r="B6" s="7" t="n">
        <v>2129.6</v>
      </c>
      <c r="C6" s="7" t="n">
        <v>938900</v>
      </c>
      <c r="D6" s="7" t="inlineStr"/>
      <c r="E6" s="7" t="n">
        <v>0</v>
      </c>
      <c r="F6" s="7" t="n">
        <v>576.6</v>
      </c>
      <c r="G6" s="7" t="n">
        <v>49400</v>
      </c>
      <c r="H6" s="7" t="n">
        <v>62.2</v>
      </c>
    </row>
    <row r="7">
      <c r="A7" s="8" t="inlineStr">
        <is>
          <t>2024-02</t>
        </is>
      </c>
      <c r="B7" s="7" t="n">
        <v>2187.3</v>
      </c>
      <c r="C7" s="7" t="n">
        <v>982058</v>
      </c>
      <c r="D7" s="7" t="inlineStr"/>
      <c r="E7" s="7" t="n">
        <v>40</v>
      </c>
      <c r="F7" s="7" t="n">
        <v>606.8</v>
      </c>
      <c r="G7" s="7" t="n">
        <v>50230</v>
      </c>
      <c r="H7" s="7" t="n">
        <v>62.7</v>
      </c>
    </row>
    <row r="8">
      <c r="A8" s="8" t="inlineStr">
        <is>
          <t>2024-03</t>
        </is>
      </c>
      <c r="B8" s="7" t="n">
        <v>2213.1</v>
      </c>
      <c r="C8" s="7" t="n">
        <v>1001567</v>
      </c>
      <c r="D8" s="7" t="inlineStr"/>
      <c r="E8" s="7" t="n">
        <v>40</v>
      </c>
      <c r="F8" s="7" t="n">
        <v>629</v>
      </c>
      <c r="G8" s="7" t="n">
        <v>50211</v>
      </c>
      <c r="H8" s="7" t="n">
        <v>62.2</v>
      </c>
    </row>
    <row r="9">
      <c r="A9" s="8" t="inlineStr">
        <is>
          <t>2024-04</t>
        </is>
      </c>
      <c r="B9" s="7" t="n">
        <v>2200</v>
      </c>
      <c r="C9" s="7" t="n">
        <v>992200</v>
      </c>
      <c r="D9" s="7" t="inlineStr"/>
      <c r="E9" s="7" t="n">
        <v>0</v>
      </c>
      <c r="F9" s="7" t="n">
        <v>637.1</v>
      </c>
      <c r="G9" s="7" t="n">
        <v>49348</v>
      </c>
      <c r="H9" s="7" t="n">
        <v>60.8</v>
      </c>
    </row>
    <row r="10">
      <c r="A10" s="8" t="inlineStr">
        <is>
          <t>2024-05</t>
        </is>
      </c>
      <c r="B10" s="7" t="n">
        <v>2151.5</v>
      </c>
      <c r="C10" s="7" t="n">
        <v>956467</v>
      </c>
      <c r="D10" s="7" t="inlineStr"/>
      <c r="E10" s="7" t="n">
        <v>0</v>
      </c>
      <c r="F10" s="7" t="n">
        <v>629</v>
      </c>
      <c r="G10" s="7" t="n">
        <v>47871</v>
      </c>
      <c r="H10" s="7" t="n">
        <v>59</v>
      </c>
    </row>
    <row r="11">
      <c r="A11" s="8" t="inlineStr">
        <is>
          <t>2024-06</t>
        </is>
      </c>
      <c r="B11" s="7" t="n">
        <v>2330.3</v>
      </c>
      <c r="C11" s="7" t="n">
        <v>1012415</v>
      </c>
      <c r="D11" s="7" t="inlineStr"/>
      <c r="E11" s="7" t="n">
        <v>0</v>
      </c>
      <c r="F11" s="7" t="n">
        <v>619</v>
      </c>
      <c r="G11" s="7" t="n">
        <v>41230</v>
      </c>
      <c r="H11" s="7" t="n">
        <v>67.40000000000001</v>
      </c>
    </row>
    <row r="12">
      <c r="A12" s="8" t="inlineStr">
        <is>
          <t>2024-07</t>
        </is>
      </c>
      <c r="B12" s="7" t="n">
        <v>2006.4</v>
      </c>
      <c r="C12" s="7" t="n">
        <v>848700</v>
      </c>
      <c r="D12" s="7" t="inlineStr"/>
      <c r="E12" s="7" t="n">
        <v>0</v>
      </c>
      <c r="F12" s="7" t="n">
        <v>576.6</v>
      </c>
      <c r="G12" s="7" t="n">
        <v>44720</v>
      </c>
      <c r="H12" s="7" t="n">
        <v>55.8</v>
      </c>
    </row>
    <row r="13">
      <c r="A13" s="8" t="inlineStr">
        <is>
          <t>2024-08</t>
        </is>
      </c>
      <c r="B13" s="7" t="n">
        <v>1948.7</v>
      </c>
      <c r="C13" s="7" t="n">
        <v>805542</v>
      </c>
      <c r="D13" s="7" t="inlineStr"/>
      <c r="E13" s="7" t="n">
        <v>40</v>
      </c>
      <c r="F13" s="7" t="n">
        <v>546.4</v>
      </c>
      <c r="G13" s="7" t="n">
        <v>43890</v>
      </c>
      <c r="H13" s="7" t="n">
        <v>55.3</v>
      </c>
    </row>
    <row r="14">
      <c r="A14" s="8" t="inlineStr">
        <is>
          <t>2024-09</t>
        </is>
      </c>
      <c r="B14" s="7" t="n">
        <v>1922.9</v>
      </c>
      <c r="C14" s="7" t="n">
        <v>786033</v>
      </c>
      <c r="D14" s="7" t="inlineStr"/>
      <c r="E14" s="7" t="n">
        <v>40</v>
      </c>
      <c r="F14" s="7" t="n">
        <v>524.2</v>
      </c>
      <c r="G14" s="7" t="n">
        <v>43909</v>
      </c>
      <c r="H14" s="7" t="n">
        <v>55.8</v>
      </c>
    </row>
    <row r="15">
      <c r="A15" s="8" t="inlineStr">
        <is>
          <t>2024-10</t>
        </is>
      </c>
      <c r="B15" s="7" t="n">
        <v>1936</v>
      </c>
      <c r="C15" s="7" t="n">
        <v>795400</v>
      </c>
      <c r="D15" s="7" t="inlineStr"/>
      <c r="E15" s="7" t="n">
        <v>0</v>
      </c>
      <c r="F15" s="7" t="n">
        <v>516.1</v>
      </c>
      <c r="G15" s="7" t="n">
        <v>44772</v>
      </c>
      <c r="H15" s="7" t="n">
        <v>57.2</v>
      </c>
    </row>
    <row r="16">
      <c r="A16" s="8" t="inlineStr">
        <is>
          <t>2024-11</t>
        </is>
      </c>
      <c r="B16" s="7" t="n">
        <v>1984.5</v>
      </c>
      <c r="C16" s="7" t="n">
        <v>831133</v>
      </c>
      <c r="D16" s="7" t="inlineStr"/>
      <c r="E16" s="7" t="n">
        <v>0</v>
      </c>
      <c r="F16" s="7" t="n">
        <v>524.2</v>
      </c>
      <c r="G16" s="7" t="n">
        <v>46249</v>
      </c>
      <c r="H16" s="7" t="n">
        <v>59</v>
      </c>
    </row>
    <row r="17">
      <c r="A17" s="8" t="inlineStr">
        <is>
          <t>2024-12</t>
        </is>
      </c>
      <c r="B17" s="7" t="n">
        <v>2055.3</v>
      </c>
      <c r="C17" s="7" t="n">
        <v>883658</v>
      </c>
      <c r="D17" s="7" t="inlineStr"/>
      <c r="E17" s="7" t="n">
        <v>0</v>
      </c>
      <c r="F17" s="7" t="n">
        <v>546.4</v>
      </c>
      <c r="G17" s="7" t="n">
        <v>47942</v>
      </c>
      <c r="H17" s="7" t="n">
        <v>60.9</v>
      </c>
    </row>
    <row r="18">
      <c r="A18" s="8" t="inlineStr">
        <is>
          <t>2025-01</t>
        </is>
      </c>
      <c r="B18" s="7" t="n">
        <v>2129.6</v>
      </c>
      <c r="C18" s="7" t="n">
        <v>938900</v>
      </c>
      <c r="D18" s="7" t="inlineStr"/>
      <c r="E18" s="7" t="n">
        <v>0</v>
      </c>
      <c r="F18" s="7" t="n">
        <v>576.6</v>
      </c>
      <c r="G18" s="7" t="n">
        <v>49400</v>
      </c>
      <c r="H18" s="7" t="n">
        <v>62.2</v>
      </c>
    </row>
    <row r="19">
      <c r="A19" s="8" t="inlineStr">
        <is>
          <t>2025-02</t>
        </is>
      </c>
      <c r="B19" s="7" t="n">
        <v>2187.3</v>
      </c>
      <c r="C19" s="7" t="n">
        <v>982058</v>
      </c>
      <c r="D19" s="7" t="inlineStr"/>
      <c r="E19" s="7" t="n">
        <v>40</v>
      </c>
      <c r="F19" s="7" t="n">
        <v>606.8</v>
      </c>
      <c r="G19" s="7" t="n">
        <v>50230</v>
      </c>
      <c r="H19" s="7" t="n">
        <v>62.7</v>
      </c>
    </row>
    <row r="20">
      <c r="A20" s="8" t="inlineStr">
        <is>
          <t>2025-03</t>
        </is>
      </c>
      <c r="B20" s="7" t="n">
        <v>2213.1</v>
      </c>
      <c r="C20" s="7" t="n">
        <v>1001567</v>
      </c>
      <c r="D20" s="7" t="inlineStr"/>
      <c r="E20" s="7" t="n">
        <v>40</v>
      </c>
      <c r="F20" s="7" t="n">
        <v>629</v>
      </c>
      <c r="G20" s="7" t="n">
        <v>50211</v>
      </c>
      <c r="H20" s="7" t="n">
        <v>62.2</v>
      </c>
    </row>
    <row r="21">
      <c r="A21" s="8" t="inlineStr">
        <is>
          <t>2025-04</t>
        </is>
      </c>
      <c r="B21" s="7" t="n">
        <v>2200</v>
      </c>
      <c r="C21" s="7" t="n">
        <v>992200</v>
      </c>
      <c r="D21" s="7" t="inlineStr"/>
      <c r="E21" s="7" t="n">
        <v>0</v>
      </c>
      <c r="F21" s="7" t="n">
        <v>637.1</v>
      </c>
      <c r="G21" s="7" t="n">
        <v>49348</v>
      </c>
      <c r="H21" s="7" t="n">
        <v>60.8</v>
      </c>
    </row>
    <row r="22">
      <c r="A22" s="8" t="inlineStr">
        <is>
          <t>2025-05</t>
        </is>
      </c>
      <c r="B22" s="7" t="n">
        <v>2151.5</v>
      </c>
      <c r="C22" s="7" t="n">
        <v>956467</v>
      </c>
      <c r="D22" s="7" t="inlineStr"/>
      <c r="E22" s="7" t="n">
        <v>0</v>
      </c>
      <c r="F22" s="7" t="n">
        <v>629</v>
      </c>
      <c r="G22" s="7" t="n">
        <v>47871</v>
      </c>
      <c r="H22" s="7" t="n">
        <v>59</v>
      </c>
    </row>
    <row r="23">
      <c r="A23" s="8" t="inlineStr">
        <is>
          <t>2025-06</t>
        </is>
      </c>
      <c r="B23" s="7" t="n">
        <v>2080.7</v>
      </c>
      <c r="C23" s="7" t="n">
        <v>903942</v>
      </c>
      <c r="D23" s="7" t="inlineStr"/>
      <c r="E23" s="7" t="n">
        <v>0</v>
      </c>
      <c r="F23" s="7" t="n">
        <v>606.8</v>
      </c>
      <c r="G23" s="7" t="n">
        <v>46178</v>
      </c>
      <c r="H23" s="7" t="n">
        <v>57.1</v>
      </c>
    </row>
    <row r="24">
      <c r="A24" s="8" t="inlineStr">
        <is>
          <t>2025-07</t>
        </is>
      </c>
      <c r="B24" s="7" t="n">
        <v>2006.4</v>
      </c>
      <c r="C24" s="7" t="n">
        <v>848700</v>
      </c>
      <c r="D24" s="7" t="inlineStr"/>
      <c r="E24" s="7" t="n">
        <v>0</v>
      </c>
      <c r="F24" s="7" t="n">
        <v>576.6</v>
      </c>
      <c r="G24" s="7" t="n">
        <v>44720</v>
      </c>
      <c r="H24" s="7" t="n">
        <v>55.8</v>
      </c>
    </row>
    <row r="25">
      <c r="A25" s="8" t="inlineStr">
        <is>
          <t>2025-08</t>
        </is>
      </c>
      <c r="B25" s="7" t="n">
        <v>1948.7</v>
      </c>
      <c r="C25" s="7" t="n">
        <v>805542</v>
      </c>
      <c r="D25" s="7" t="inlineStr"/>
      <c r="E25" s="7" t="n">
        <v>40</v>
      </c>
      <c r="F25" s="7" t="n">
        <v>546.4</v>
      </c>
      <c r="G25" s="7" t="n">
        <v>43890</v>
      </c>
      <c r="H25" s="7" t="n">
        <v>55.3</v>
      </c>
    </row>
    <row r="26">
      <c r="A26" s="8" t="inlineStr">
        <is>
          <t>2025-09</t>
        </is>
      </c>
      <c r="B26" s="7" t="n">
        <v>1922.9</v>
      </c>
      <c r="C26" s="7" t="n">
        <v>786033</v>
      </c>
      <c r="D26" s="7" t="inlineStr"/>
      <c r="E26" s="7" t="n">
        <v>40</v>
      </c>
      <c r="F26" s="7" t="n">
        <v>524.2</v>
      </c>
      <c r="G26" s="7" t="n">
        <v>43909</v>
      </c>
      <c r="H26" s="7" t="n">
        <v>55.8</v>
      </c>
    </row>
    <row r="27">
      <c r="A27" s="8" t="inlineStr">
        <is>
          <t>2025-10</t>
        </is>
      </c>
      <c r="B27" s="7" t="n">
        <v>1936</v>
      </c>
      <c r="C27" s="7" t="n">
        <v>795400</v>
      </c>
      <c r="D27" s="7" t="inlineStr"/>
      <c r="E27" s="7" t="n">
        <v>0</v>
      </c>
      <c r="F27" s="7" t="n">
        <v>516.1</v>
      </c>
      <c r="G27" s="7" t="n">
        <v>44772</v>
      </c>
      <c r="H27" s="7" t="n">
        <v>57.2</v>
      </c>
    </row>
    <row r="28">
      <c r="A28" s="8" t="inlineStr">
        <is>
          <t>2025-11</t>
        </is>
      </c>
      <c r="B28" s="7" t="n">
        <v>1984.5</v>
      </c>
      <c r="C28" s="7" t="n">
        <v>831133</v>
      </c>
      <c r="D28" s="7" t="inlineStr"/>
      <c r="E28" s="7" t="n">
        <v>0</v>
      </c>
      <c r="F28" s="7" t="n">
        <v>524.2</v>
      </c>
      <c r="G28" s="7" t="n">
        <v>46249</v>
      </c>
      <c r="H28" s="7" t="n">
        <v>59</v>
      </c>
    </row>
    <row r="29">
      <c r="A29" s="8" t="inlineStr">
        <is>
          <t>2025-12</t>
        </is>
      </c>
      <c r="B29" s="7" t="n">
        <v>2055.3</v>
      </c>
      <c r="C29" s="7" t="n">
        <v>883658</v>
      </c>
      <c r="D29" s="7" t="inlineStr"/>
      <c r="E29" s="7" t="n">
        <v>0</v>
      </c>
      <c r="F29" s="7" t="n">
        <v>546.4</v>
      </c>
      <c r="G29" s="7" t="n">
        <v>47942</v>
      </c>
      <c r="H29" s="7" t="n">
        <v>60.9</v>
      </c>
    </row>
  </sheetData>
  <mergeCells count="2">
    <mergeCell ref="C3:H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Calculations (formulas)</t>
        </is>
      </c>
    </row>
    <row r="3" ht="26" customHeight="1">
      <c r="A3" s="5" t="inlineStr">
        <is>
          <t>Period</t>
        </is>
      </c>
      <c r="B3" s="5" t="inlineStr">
        <is>
          <t>Elec_MWh</t>
        </is>
      </c>
      <c r="C3" s="5" t="inlineStr">
        <is>
          <t>Gas_Nm3</t>
        </is>
      </c>
      <c r="D3" s="5" t="inlineStr">
        <is>
          <t>Gas_MWh_in</t>
        </is>
      </c>
      <c r="E3" s="5" t="inlineStr">
        <is>
          <t>Gas_MWh_calc</t>
        </is>
      </c>
      <c r="F3" s="5" t="inlineStr">
        <is>
          <t>OtherFuel_MWh</t>
        </is>
      </c>
      <c r="G3" s="5" t="inlineStr">
        <is>
          <t>Steam_MWh</t>
        </is>
      </c>
      <c r="H3" s="5" t="inlineStr">
        <is>
          <t>Prod_t</t>
        </is>
      </c>
      <c r="I3" s="5" t="inlineStr">
        <is>
          <t>Scope1_tCO2</t>
        </is>
      </c>
      <c r="J3" s="5" t="inlineStr">
        <is>
          <t>Scope2_tCO2</t>
        </is>
      </c>
      <c r="K3" s="5" t="inlineStr">
        <is>
          <t>Steam_tCO2</t>
        </is>
      </c>
      <c r="L3" s="5" t="inlineStr">
        <is>
          <t>Total_tCO2</t>
        </is>
      </c>
      <c r="M3" s="5" t="inlineStr">
        <is>
          <t>ETS_cost_selected_€</t>
        </is>
      </c>
      <c r="N3" s="5" t="inlineStr">
        <is>
          <t>ETS_cost_Low_€</t>
        </is>
      </c>
      <c r="O3" s="5" t="inlineStr">
        <is>
          <t>ETS_cost_Mid_€</t>
        </is>
      </c>
      <c r="P3" s="5" t="inlineStr">
        <is>
          <t>ETS_cost_High_€</t>
        </is>
      </c>
    </row>
    <row r="4">
      <c r="A4" s="8">
        <f>Inputs!A6</f>
        <v/>
      </c>
      <c r="B4" s="11">
        <f>Inputs!B6</f>
        <v/>
      </c>
      <c r="C4" s="8">
        <f>Inputs!C6</f>
        <v/>
      </c>
      <c r="D4" s="8">
        <f>Inputs!D6</f>
        <v/>
      </c>
      <c r="E4" s="11">
        <f>IF(Inputs!D6&lt;&gt;"", Inputs!D6, Inputs!C6*Factors!$B$9/1000)</f>
        <v/>
      </c>
      <c r="F4" s="11">
        <f>Inputs!E6</f>
        <v/>
      </c>
      <c r="G4" s="11">
        <f>Inputs!F6</f>
        <v/>
      </c>
      <c r="H4" s="8">
        <f>Inputs!G6</f>
        <v/>
      </c>
      <c r="I4" s="12">
        <f>E4*Factors!$B$5 + F4*Factors!$B$6</f>
        <v/>
      </c>
      <c r="J4" s="12">
        <f>B4*Factors!$B$8</f>
        <v/>
      </c>
      <c r="K4" s="12">
        <f>G4*Factors!$B$7</f>
        <v/>
      </c>
      <c r="L4" s="12">
        <f>I4+J4+K4</f>
        <v/>
      </c>
      <c r="M4" s="13">
        <f>I4*(INDEX(Factors!$B$15:$B$17, MATCH(Inputs!$B$3, Factors!$A$15:$A$17, 0)))</f>
        <v/>
      </c>
      <c r="N4" s="13">
        <f>I4*INDEX(Factors!$B$15:$B$17,1)</f>
        <v/>
      </c>
      <c r="O4" s="13">
        <f>I4*INDEX(Factors!$B$15:$B$17,2)</f>
        <v/>
      </c>
      <c r="P4" s="13">
        <f>I4*INDEX(Factors!$B$15:$B$17,3)</f>
        <v/>
      </c>
    </row>
    <row r="5">
      <c r="A5" s="8">
        <f>Inputs!A7</f>
        <v/>
      </c>
      <c r="B5" s="11">
        <f>Inputs!B7</f>
        <v/>
      </c>
      <c r="C5" s="8">
        <f>Inputs!C7</f>
        <v/>
      </c>
      <c r="D5" s="8">
        <f>Inputs!D7</f>
        <v/>
      </c>
      <c r="E5" s="11">
        <f>IF(Inputs!D7&lt;&gt;"", Inputs!D7, Inputs!C7*Factors!$B$9/1000)</f>
        <v/>
      </c>
      <c r="F5" s="11">
        <f>Inputs!E7</f>
        <v/>
      </c>
      <c r="G5" s="11">
        <f>Inputs!F7</f>
        <v/>
      </c>
      <c r="H5" s="8">
        <f>Inputs!G7</f>
        <v/>
      </c>
      <c r="I5" s="12">
        <f>E5*Factors!$B$5 + F5*Factors!$B$6</f>
        <v/>
      </c>
      <c r="J5" s="12">
        <f>B5*Factors!$B$8</f>
        <v/>
      </c>
      <c r="K5" s="12">
        <f>G5*Factors!$B$7</f>
        <v/>
      </c>
      <c r="L5" s="12">
        <f>I5+J5+K5</f>
        <v/>
      </c>
      <c r="M5" s="13">
        <f>I5*(INDEX(Factors!$B$15:$B$17, MATCH(Inputs!$B$3, Factors!$A$15:$A$17, 0)))</f>
        <v/>
      </c>
      <c r="N5" s="13">
        <f>I5*INDEX(Factors!$B$15:$B$17,1)</f>
        <v/>
      </c>
      <c r="O5" s="13">
        <f>I5*INDEX(Factors!$B$15:$B$17,2)</f>
        <v/>
      </c>
      <c r="P5" s="13">
        <f>I5*INDEX(Factors!$B$15:$B$17,3)</f>
        <v/>
      </c>
    </row>
    <row r="6">
      <c r="A6" s="8">
        <f>Inputs!A8</f>
        <v/>
      </c>
      <c r="B6" s="11">
        <f>Inputs!B8</f>
        <v/>
      </c>
      <c r="C6" s="8">
        <f>Inputs!C8</f>
        <v/>
      </c>
      <c r="D6" s="8">
        <f>Inputs!D8</f>
        <v/>
      </c>
      <c r="E6" s="11">
        <f>IF(Inputs!D8&lt;&gt;"", Inputs!D8, Inputs!C8*Factors!$B$9/1000)</f>
        <v/>
      </c>
      <c r="F6" s="11">
        <f>Inputs!E8</f>
        <v/>
      </c>
      <c r="G6" s="11">
        <f>Inputs!F8</f>
        <v/>
      </c>
      <c r="H6" s="8">
        <f>Inputs!G8</f>
        <v/>
      </c>
      <c r="I6" s="12">
        <f>E6*Factors!$B$5 + F6*Factors!$B$6</f>
        <v/>
      </c>
      <c r="J6" s="12">
        <f>B6*Factors!$B$8</f>
        <v/>
      </c>
      <c r="K6" s="12">
        <f>G6*Factors!$B$7</f>
        <v/>
      </c>
      <c r="L6" s="12">
        <f>I6+J6+K6</f>
        <v/>
      </c>
      <c r="M6" s="13">
        <f>I6*(INDEX(Factors!$B$15:$B$17, MATCH(Inputs!$B$3, Factors!$A$15:$A$17, 0)))</f>
        <v/>
      </c>
      <c r="N6" s="13">
        <f>I6*INDEX(Factors!$B$15:$B$17,1)</f>
        <v/>
      </c>
      <c r="O6" s="13">
        <f>I6*INDEX(Factors!$B$15:$B$17,2)</f>
        <v/>
      </c>
      <c r="P6" s="13">
        <f>I6*INDEX(Factors!$B$15:$B$17,3)</f>
        <v/>
      </c>
    </row>
    <row r="7">
      <c r="A7" s="8">
        <f>Inputs!A9</f>
        <v/>
      </c>
      <c r="B7" s="11">
        <f>Inputs!B9</f>
        <v/>
      </c>
      <c r="C7" s="8">
        <f>Inputs!C9</f>
        <v/>
      </c>
      <c r="D7" s="8">
        <f>Inputs!D9</f>
        <v/>
      </c>
      <c r="E7" s="11">
        <f>IF(Inputs!D9&lt;&gt;"", Inputs!D9, Inputs!C9*Factors!$B$9/1000)</f>
        <v/>
      </c>
      <c r="F7" s="11">
        <f>Inputs!E9</f>
        <v/>
      </c>
      <c r="G7" s="11">
        <f>Inputs!F9</f>
        <v/>
      </c>
      <c r="H7" s="8">
        <f>Inputs!G9</f>
        <v/>
      </c>
      <c r="I7" s="12">
        <f>E7*Factors!$B$5 + F7*Factors!$B$6</f>
        <v/>
      </c>
      <c r="J7" s="12">
        <f>B7*Factors!$B$8</f>
        <v/>
      </c>
      <c r="K7" s="12">
        <f>G7*Factors!$B$7</f>
        <v/>
      </c>
      <c r="L7" s="12">
        <f>I7+J7+K7</f>
        <v/>
      </c>
      <c r="M7" s="13">
        <f>I7*(INDEX(Factors!$B$15:$B$17, MATCH(Inputs!$B$3, Factors!$A$15:$A$17, 0)))</f>
        <v/>
      </c>
      <c r="N7" s="13">
        <f>I7*INDEX(Factors!$B$15:$B$17,1)</f>
        <v/>
      </c>
      <c r="O7" s="13">
        <f>I7*INDEX(Factors!$B$15:$B$17,2)</f>
        <v/>
      </c>
      <c r="P7" s="13">
        <f>I7*INDEX(Factors!$B$15:$B$17,3)</f>
        <v/>
      </c>
    </row>
    <row r="8">
      <c r="A8" s="8">
        <f>Inputs!A10</f>
        <v/>
      </c>
      <c r="B8" s="11">
        <f>Inputs!B10</f>
        <v/>
      </c>
      <c r="C8" s="8">
        <f>Inputs!C10</f>
        <v/>
      </c>
      <c r="D8" s="8">
        <f>Inputs!D10</f>
        <v/>
      </c>
      <c r="E8" s="11">
        <f>IF(Inputs!D10&lt;&gt;"", Inputs!D10, Inputs!C10*Factors!$B$9/1000)</f>
        <v/>
      </c>
      <c r="F8" s="11">
        <f>Inputs!E10</f>
        <v/>
      </c>
      <c r="G8" s="11">
        <f>Inputs!F10</f>
        <v/>
      </c>
      <c r="H8" s="8">
        <f>Inputs!G10</f>
        <v/>
      </c>
      <c r="I8" s="12">
        <f>E8*Factors!$B$5 + F8*Factors!$B$6</f>
        <v/>
      </c>
      <c r="J8" s="12">
        <f>B8*Factors!$B$8</f>
        <v/>
      </c>
      <c r="K8" s="12">
        <f>G8*Factors!$B$7</f>
        <v/>
      </c>
      <c r="L8" s="12">
        <f>I8+J8+K8</f>
        <v/>
      </c>
      <c r="M8" s="13">
        <f>I8*(INDEX(Factors!$B$15:$B$17, MATCH(Inputs!$B$3, Factors!$A$15:$A$17, 0)))</f>
        <v/>
      </c>
      <c r="N8" s="13">
        <f>I8*INDEX(Factors!$B$15:$B$17,1)</f>
        <v/>
      </c>
      <c r="O8" s="13">
        <f>I8*INDEX(Factors!$B$15:$B$17,2)</f>
        <v/>
      </c>
      <c r="P8" s="13">
        <f>I8*INDEX(Factors!$B$15:$B$17,3)</f>
        <v/>
      </c>
    </row>
    <row r="9">
      <c r="A9" s="8">
        <f>Inputs!A11</f>
        <v/>
      </c>
      <c r="B9" s="11">
        <f>Inputs!B11</f>
        <v/>
      </c>
      <c r="C9" s="8">
        <f>Inputs!C11</f>
        <v/>
      </c>
      <c r="D9" s="8">
        <f>Inputs!D11</f>
        <v/>
      </c>
      <c r="E9" s="11">
        <f>IF(Inputs!D11&lt;&gt;"", Inputs!D11, Inputs!C11*Factors!$B$9/1000)</f>
        <v/>
      </c>
      <c r="F9" s="11">
        <f>Inputs!E11</f>
        <v/>
      </c>
      <c r="G9" s="11">
        <f>Inputs!F11</f>
        <v/>
      </c>
      <c r="H9" s="8">
        <f>Inputs!G11</f>
        <v/>
      </c>
      <c r="I9" s="12">
        <f>E9*Factors!$B$5 + F9*Factors!$B$6</f>
        <v/>
      </c>
      <c r="J9" s="12">
        <f>B9*Factors!$B$8</f>
        <v/>
      </c>
      <c r="K9" s="12">
        <f>G9*Factors!$B$7</f>
        <v/>
      </c>
      <c r="L9" s="12">
        <f>I9+J9+K9</f>
        <v/>
      </c>
      <c r="M9" s="13">
        <f>I9*(INDEX(Factors!$B$15:$B$17, MATCH(Inputs!$B$3, Factors!$A$15:$A$17, 0)))</f>
        <v/>
      </c>
      <c r="N9" s="13">
        <f>I9*INDEX(Factors!$B$15:$B$17,1)</f>
        <v/>
      </c>
      <c r="O9" s="13">
        <f>I9*INDEX(Factors!$B$15:$B$17,2)</f>
        <v/>
      </c>
      <c r="P9" s="13">
        <f>I9*INDEX(Factors!$B$15:$B$17,3)</f>
        <v/>
      </c>
    </row>
    <row r="10">
      <c r="A10" s="8">
        <f>Inputs!A12</f>
        <v/>
      </c>
      <c r="B10" s="11">
        <f>Inputs!B12</f>
        <v/>
      </c>
      <c r="C10" s="8">
        <f>Inputs!C12</f>
        <v/>
      </c>
      <c r="D10" s="8">
        <f>Inputs!D12</f>
        <v/>
      </c>
      <c r="E10" s="11">
        <f>IF(Inputs!D12&lt;&gt;"", Inputs!D12, Inputs!C12*Factors!$B$9/1000)</f>
        <v/>
      </c>
      <c r="F10" s="11">
        <f>Inputs!E12</f>
        <v/>
      </c>
      <c r="G10" s="11">
        <f>Inputs!F12</f>
        <v/>
      </c>
      <c r="H10" s="8">
        <f>Inputs!G12</f>
        <v/>
      </c>
      <c r="I10" s="12">
        <f>E10*Factors!$B$5 + F10*Factors!$B$6</f>
        <v/>
      </c>
      <c r="J10" s="12">
        <f>B10*Factors!$B$8</f>
        <v/>
      </c>
      <c r="K10" s="12">
        <f>G10*Factors!$B$7</f>
        <v/>
      </c>
      <c r="L10" s="12">
        <f>I10+J10+K10</f>
        <v/>
      </c>
      <c r="M10" s="13">
        <f>I10*(INDEX(Factors!$B$15:$B$17, MATCH(Inputs!$B$3, Factors!$A$15:$A$17, 0)))</f>
        <v/>
      </c>
      <c r="N10" s="13">
        <f>I10*INDEX(Factors!$B$15:$B$17,1)</f>
        <v/>
      </c>
      <c r="O10" s="13">
        <f>I10*INDEX(Factors!$B$15:$B$17,2)</f>
        <v/>
      </c>
      <c r="P10" s="13">
        <f>I10*INDEX(Factors!$B$15:$B$17,3)</f>
        <v/>
      </c>
    </row>
    <row r="11">
      <c r="A11" s="8">
        <f>Inputs!A13</f>
        <v/>
      </c>
      <c r="B11" s="11">
        <f>Inputs!B13</f>
        <v/>
      </c>
      <c r="C11" s="8">
        <f>Inputs!C13</f>
        <v/>
      </c>
      <c r="D11" s="8">
        <f>Inputs!D13</f>
        <v/>
      </c>
      <c r="E11" s="11">
        <f>IF(Inputs!D13&lt;&gt;"", Inputs!D13, Inputs!C13*Factors!$B$9/1000)</f>
        <v/>
      </c>
      <c r="F11" s="11">
        <f>Inputs!E13</f>
        <v/>
      </c>
      <c r="G11" s="11">
        <f>Inputs!F13</f>
        <v/>
      </c>
      <c r="H11" s="8">
        <f>Inputs!G13</f>
        <v/>
      </c>
      <c r="I11" s="12">
        <f>E11*Factors!$B$5 + F11*Factors!$B$6</f>
        <v/>
      </c>
      <c r="J11" s="12">
        <f>B11*Factors!$B$8</f>
        <v/>
      </c>
      <c r="K11" s="12">
        <f>G11*Factors!$B$7</f>
        <v/>
      </c>
      <c r="L11" s="12">
        <f>I11+J11+K11</f>
        <v/>
      </c>
      <c r="M11" s="13">
        <f>I11*(INDEX(Factors!$B$15:$B$17, MATCH(Inputs!$B$3, Factors!$A$15:$A$17, 0)))</f>
        <v/>
      </c>
      <c r="N11" s="13">
        <f>I11*INDEX(Factors!$B$15:$B$17,1)</f>
        <v/>
      </c>
      <c r="O11" s="13">
        <f>I11*INDEX(Factors!$B$15:$B$17,2)</f>
        <v/>
      </c>
      <c r="P11" s="13">
        <f>I11*INDEX(Factors!$B$15:$B$17,3)</f>
        <v/>
      </c>
    </row>
    <row r="12">
      <c r="A12" s="8">
        <f>Inputs!A14</f>
        <v/>
      </c>
      <c r="B12" s="11">
        <f>Inputs!B14</f>
        <v/>
      </c>
      <c r="C12" s="8">
        <f>Inputs!C14</f>
        <v/>
      </c>
      <c r="D12" s="8">
        <f>Inputs!D14</f>
        <v/>
      </c>
      <c r="E12" s="11">
        <f>IF(Inputs!D14&lt;&gt;"", Inputs!D14, Inputs!C14*Factors!$B$9/1000)</f>
        <v/>
      </c>
      <c r="F12" s="11">
        <f>Inputs!E14</f>
        <v/>
      </c>
      <c r="G12" s="11">
        <f>Inputs!F14</f>
        <v/>
      </c>
      <c r="H12" s="8">
        <f>Inputs!G14</f>
        <v/>
      </c>
      <c r="I12" s="12">
        <f>E12*Factors!$B$5 + F12*Factors!$B$6</f>
        <v/>
      </c>
      <c r="J12" s="12">
        <f>B12*Factors!$B$8</f>
        <v/>
      </c>
      <c r="K12" s="12">
        <f>G12*Factors!$B$7</f>
        <v/>
      </c>
      <c r="L12" s="12">
        <f>I12+J12+K12</f>
        <v/>
      </c>
      <c r="M12" s="13">
        <f>I12*(INDEX(Factors!$B$15:$B$17, MATCH(Inputs!$B$3, Factors!$A$15:$A$17, 0)))</f>
        <v/>
      </c>
      <c r="N12" s="13">
        <f>I12*INDEX(Factors!$B$15:$B$17,1)</f>
        <v/>
      </c>
      <c r="O12" s="13">
        <f>I12*INDEX(Factors!$B$15:$B$17,2)</f>
        <v/>
      </c>
      <c r="P12" s="13">
        <f>I12*INDEX(Factors!$B$15:$B$17,3)</f>
        <v/>
      </c>
    </row>
    <row r="13">
      <c r="A13" s="8">
        <f>Inputs!A15</f>
        <v/>
      </c>
      <c r="B13" s="11">
        <f>Inputs!B15</f>
        <v/>
      </c>
      <c r="C13" s="8">
        <f>Inputs!C15</f>
        <v/>
      </c>
      <c r="D13" s="8">
        <f>Inputs!D15</f>
        <v/>
      </c>
      <c r="E13" s="11">
        <f>IF(Inputs!D15&lt;&gt;"", Inputs!D15, Inputs!C15*Factors!$B$9/1000)</f>
        <v/>
      </c>
      <c r="F13" s="11">
        <f>Inputs!E15</f>
        <v/>
      </c>
      <c r="G13" s="11">
        <f>Inputs!F15</f>
        <v/>
      </c>
      <c r="H13" s="8">
        <f>Inputs!G15</f>
        <v/>
      </c>
      <c r="I13" s="12">
        <f>E13*Factors!$B$5 + F13*Factors!$B$6</f>
        <v/>
      </c>
      <c r="J13" s="12">
        <f>B13*Factors!$B$8</f>
        <v/>
      </c>
      <c r="K13" s="12">
        <f>G13*Factors!$B$7</f>
        <v/>
      </c>
      <c r="L13" s="12">
        <f>I13+J13+K13</f>
        <v/>
      </c>
      <c r="M13" s="13">
        <f>I13*(INDEX(Factors!$B$15:$B$17, MATCH(Inputs!$B$3, Factors!$A$15:$A$17, 0)))</f>
        <v/>
      </c>
      <c r="N13" s="13">
        <f>I13*INDEX(Factors!$B$15:$B$17,1)</f>
        <v/>
      </c>
      <c r="O13" s="13">
        <f>I13*INDEX(Factors!$B$15:$B$17,2)</f>
        <v/>
      </c>
      <c r="P13" s="13">
        <f>I13*INDEX(Factors!$B$15:$B$17,3)</f>
        <v/>
      </c>
    </row>
    <row r="14">
      <c r="A14" s="8">
        <f>Inputs!A16</f>
        <v/>
      </c>
      <c r="B14" s="11">
        <f>Inputs!B16</f>
        <v/>
      </c>
      <c r="C14" s="8">
        <f>Inputs!C16</f>
        <v/>
      </c>
      <c r="D14" s="8">
        <f>Inputs!D16</f>
        <v/>
      </c>
      <c r="E14" s="11">
        <f>IF(Inputs!D16&lt;&gt;"", Inputs!D16, Inputs!C16*Factors!$B$9/1000)</f>
        <v/>
      </c>
      <c r="F14" s="11">
        <f>Inputs!E16</f>
        <v/>
      </c>
      <c r="G14" s="11">
        <f>Inputs!F16</f>
        <v/>
      </c>
      <c r="H14" s="8">
        <f>Inputs!G16</f>
        <v/>
      </c>
      <c r="I14" s="12">
        <f>E14*Factors!$B$5 + F14*Factors!$B$6</f>
        <v/>
      </c>
      <c r="J14" s="12">
        <f>B14*Factors!$B$8</f>
        <v/>
      </c>
      <c r="K14" s="12">
        <f>G14*Factors!$B$7</f>
        <v/>
      </c>
      <c r="L14" s="12">
        <f>I14+J14+K14</f>
        <v/>
      </c>
      <c r="M14" s="13">
        <f>I14*(INDEX(Factors!$B$15:$B$17, MATCH(Inputs!$B$3, Factors!$A$15:$A$17, 0)))</f>
        <v/>
      </c>
      <c r="N14" s="13">
        <f>I14*INDEX(Factors!$B$15:$B$17,1)</f>
        <v/>
      </c>
      <c r="O14" s="13">
        <f>I14*INDEX(Factors!$B$15:$B$17,2)</f>
        <v/>
      </c>
      <c r="P14" s="13">
        <f>I14*INDEX(Factors!$B$15:$B$17,3)</f>
        <v/>
      </c>
    </row>
    <row r="15">
      <c r="A15" s="8">
        <f>Inputs!A17</f>
        <v/>
      </c>
      <c r="B15" s="11">
        <f>Inputs!B17</f>
        <v/>
      </c>
      <c r="C15" s="8">
        <f>Inputs!C17</f>
        <v/>
      </c>
      <c r="D15" s="8">
        <f>Inputs!D17</f>
        <v/>
      </c>
      <c r="E15" s="11">
        <f>IF(Inputs!D17&lt;&gt;"", Inputs!D17, Inputs!C17*Factors!$B$9/1000)</f>
        <v/>
      </c>
      <c r="F15" s="11">
        <f>Inputs!E17</f>
        <v/>
      </c>
      <c r="G15" s="11">
        <f>Inputs!F17</f>
        <v/>
      </c>
      <c r="H15" s="8">
        <f>Inputs!G17</f>
        <v/>
      </c>
      <c r="I15" s="12">
        <f>E15*Factors!$B$5 + F15*Factors!$B$6</f>
        <v/>
      </c>
      <c r="J15" s="12">
        <f>B15*Factors!$B$8</f>
        <v/>
      </c>
      <c r="K15" s="12">
        <f>G15*Factors!$B$7</f>
        <v/>
      </c>
      <c r="L15" s="12">
        <f>I15+J15+K15</f>
        <v/>
      </c>
      <c r="M15" s="13">
        <f>I15*(INDEX(Factors!$B$15:$B$17, MATCH(Inputs!$B$3, Factors!$A$15:$A$17, 0)))</f>
        <v/>
      </c>
      <c r="N15" s="13">
        <f>I15*INDEX(Factors!$B$15:$B$17,1)</f>
        <v/>
      </c>
      <c r="O15" s="13">
        <f>I15*INDEX(Factors!$B$15:$B$17,2)</f>
        <v/>
      </c>
      <c r="P15" s="13">
        <f>I15*INDEX(Factors!$B$15:$B$17,3)</f>
        <v/>
      </c>
    </row>
    <row r="16">
      <c r="A16" s="8">
        <f>Inputs!A18</f>
        <v/>
      </c>
      <c r="B16" s="11">
        <f>Inputs!B18</f>
        <v/>
      </c>
      <c r="C16" s="8">
        <f>Inputs!C18</f>
        <v/>
      </c>
      <c r="D16" s="8">
        <f>Inputs!D18</f>
        <v/>
      </c>
      <c r="E16" s="11">
        <f>IF(Inputs!D18&lt;&gt;"", Inputs!D18, Inputs!C18*Factors!$B$9/1000)</f>
        <v/>
      </c>
      <c r="F16" s="11">
        <f>Inputs!E18</f>
        <v/>
      </c>
      <c r="G16" s="11">
        <f>Inputs!F18</f>
        <v/>
      </c>
      <c r="H16" s="8">
        <f>Inputs!G18</f>
        <v/>
      </c>
      <c r="I16" s="12">
        <f>E16*Factors!$B$5 + F16*Factors!$B$6</f>
        <v/>
      </c>
      <c r="J16" s="12">
        <f>B16*Factors!$B$8</f>
        <v/>
      </c>
      <c r="K16" s="12">
        <f>G16*Factors!$B$7</f>
        <v/>
      </c>
      <c r="L16" s="12">
        <f>I16+J16+K16</f>
        <v/>
      </c>
      <c r="M16" s="13">
        <f>I16*(INDEX(Factors!$B$15:$B$17, MATCH(Inputs!$B$3, Factors!$A$15:$A$17, 0)))</f>
        <v/>
      </c>
      <c r="N16" s="13">
        <f>I16*INDEX(Factors!$B$15:$B$17,1)</f>
        <v/>
      </c>
      <c r="O16" s="13">
        <f>I16*INDEX(Factors!$B$15:$B$17,2)</f>
        <v/>
      </c>
      <c r="P16" s="13">
        <f>I16*INDEX(Factors!$B$15:$B$17,3)</f>
        <v/>
      </c>
    </row>
    <row r="17">
      <c r="A17" s="8">
        <f>Inputs!A19</f>
        <v/>
      </c>
      <c r="B17" s="11">
        <f>Inputs!B19</f>
        <v/>
      </c>
      <c r="C17" s="8">
        <f>Inputs!C19</f>
        <v/>
      </c>
      <c r="D17" s="8">
        <f>Inputs!D19</f>
        <v/>
      </c>
      <c r="E17" s="11">
        <f>IF(Inputs!D19&lt;&gt;"", Inputs!D19, Inputs!C19*Factors!$B$9/1000)</f>
        <v/>
      </c>
      <c r="F17" s="11">
        <f>Inputs!E19</f>
        <v/>
      </c>
      <c r="G17" s="11">
        <f>Inputs!F19</f>
        <v/>
      </c>
      <c r="H17" s="8">
        <f>Inputs!G19</f>
        <v/>
      </c>
      <c r="I17" s="12">
        <f>E17*Factors!$B$5 + F17*Factors!$B$6</f>
        <v/>
      </c>
      <c r="J17" s="12">
        <f>B17*Factors!$B$8</f>
        <v/>
      </c>
      <c r="K17" s="12">
        <f>G17*Factors!$B$7</f>
        <v/>
      </c>
      <c r="L17" s="12">
        <f>I17+J17+K17</f>
        <v/>
      </c>
      <c r="M17" s="13">
        <f>I17*(INDEX(Factors!$B$15:$B$17, MATCH(Inputs!$B$3, Factors!$A$15:$A$17, 0)))</f>
        <v/>
      </c>
      <c r="N17" s="13">
        <f>I17*INDEX(Factors!$B$15:$B$17,1)</f>
        <v/>
      </c>
      <c r="O17" s="13">
        <f>I17*INDEX(Factors!$B$15:$B$17,2)</f>
        <v/>
      </c>
      <c r="P17" s="13">
        <f>I17*INDEX(Factors!$B$15:$B$17,3)</f>
        <v/>
      </c>
    </row>
    <row r="18">
      <c r="A18" s="8">
        <f>Inputs!A20</f>
        <v/>
      </c>
      <c r="B18" s="11">
        <f>Inputs!B20</f>
        <v/>
      </c>
      <c r="C18" s="8">
        <f>Inputs!C20</f>
        <v/>
      </c>
      <c r="D18" s="8">
        <f>Inputs!D20</f>
        <v/>
      </c>
      <c r="E18" s="11">
        <f>IF(Inputs!D20&lt;&gt;"", Inputs!D20, Inputs!C20*Factors!$B$9/1000)</f>
        <v/>
      </c>
      <c r="F18" s="11">
        <f>Inputs!E20</f>
        <v/>
      </c>
      <c r="G18" s="11">
        <f>Inputs!F20</f>
        <v/>
      </c>
      <c r="H18" s="8">
        <f>Inputs!G20</f>
        <v/>
      </c>
      <c r="I18" s="12">
        <f>E18*Factors!$B$5 + F18*Factors!$B$6</f>
        <v/>
      </c>
      <c r="J18" s="12">
        <f>B18*Factors!$B$8</f>
        <v/>
      </c>
      <c r="K18" s="12">
        <f>G18*Factors!$B$7</f>
        <v/>
      </c>
      <c r="L18" s="12">
        <f>I18+J18+K18</f>
        <v/>
      </c>
      <c r="M18" s="13">
        <f>I18*(INDEX(Factors!$B$15:$B$17, MATCH(Inputs!$B$3, Factors!$A$15:$A$17, 0)))</f>
        <v/>
      </c>
      <c r="N18" s="13">
        <f>I18*INDEX(Factors!$B$15:$B$17,1)</f>
        <v/>
      </c>
      <c r="O18" s="13">
        <f>I18*INDEX(Factors!$B$15:$B$17,2)</f>
        <v/>
      </c>
      <c r="P18" s="13">
        <f>I18*INDEX(Factors!$B$15:$B$17,3)</f>
        <v/>
      </c>
    </row>
    <row r="19">
      <c r="A19" s="8">
        <f>Inputs!A21</f>
        <v/>
      </c>
      <c r="B19" s="11">
        <f>Inputs!B21</f>
        <v/>
      </c>
      <c r="C19" s="8">
        <f>Inputs!C21</f>
        <v/>
      </c>
      <c r="D19" s="8">
        <f>Inputs!D21</f>
        <v/>
      </c>
      <c r="E19" s="11">
        <f>IF(Inputs!D21&lt;&gt;"", Inputs!D21, Inputs!C21*Factors!$B$9/1000)</f>
        <v/>
      </c>
      <c r="F19" s="11">
        <f>Inputs!E21</f>
        <v/>
      </c>
      <c r="G19" s="11">
        <f>Inputs!F21</f>
        <v/>
      </c>
      <c r="H19" s="8">
        <f>Inputs!G21</f>
        <v/>
      </c>
      <c r="I19" s="12">
        <f>E19*Factors!$B$5 + F19*Factors!$B$6</f>
        <v/>
      </c>
      <c r="J19" s="12">
        <f>B19*Factors!$B$8</f>
        <v/>
      </c>
      <c r="K19" s="12">
        <f>G19*Factors!$B$7</f>
        <v/>
      </c>
      <c r="L19" s="12">
        <f>I19+J19+K19</f>
        <v/>
      </c>
      <c r="M19" s="13">
        <f>I19*(INDEX(Factors!$B$15:$B$17, MATCH(Inputs!$B$3, Factors!$A$15:$A$17, 0)))</f>
        <v/>
      </c>
      <c r="N19" s="13">
        <f>I19*INDEX(Factors!$B$15:$B$17,1)</f>
        <v/>
      </c>
      <c r="O19" s="13">
        <f>I19*INDEX(Factors!$B$15:$B$17,2)</f>
        <v/>
      </c>
      <c r="P19" s="13">
        <f>I19*INDEX(Factors!$B$15:$B$17,3)</f>
        <v/>
      </c>
    </row>
    <row r="20">
      <c r="A20" s="8">
        <f>Inputs!A22</f>
        <v/>
      </c>
      <c r="B20" s="11">
        <f>Inputs!B22</f>
        <v/>
      </c>
      <c r="C20" s="8">
        <f>Inputs!C22</f>
        <v/>
      </c>
      <c r="D20" s="8">
        <f>Inputs!D22</f>
        <v/>
      </c>
      <c r="E20" s="11">
        <f>IF(Inputs!D22&lt;&gt;"", Inputs!D22, Inputs!C22*Factors!$B$9/1000)</f>
        <v/>
      </c>
      <c r="F20" s="11">
        <f>Inputs!E22</f>
        <v/>
      </c>
      <c r="G20" s="11">
        <f>Inputs!F22</f>
        <v/>
      </c>
      <c r="H20" s="8">
        <f>Inputs!G22</f>
        <v/>
      </c>
      <c r="I20" s="12">
        <f>E20*Factors!$B$5 + F20*Factors!$B$6</f>
        <v/>
      </c>
      <c r="J20" s="12">
        <f>B20*Factors!$B$8</f>
        <v/>
      </c>
      <c r="K20" s="12">
        <f>G20*Factors!$B$7</f>
        <v/>
      </c>
      <c r="L20" s="12">
        <f>I20+J20+K20</f>
        <v/>
      </c>
      <c r="M20" s="13">
        <f>I20*(INDEX(Factors!$B$15:$B$17, MATCH(Inputs!$B$3, Factors!$A$15:$A$17, 0)))</f>
        <v/>
      </c>
      <c r="N20" s="13">
        <f>I20*INDEX(Factors!$B$15:$B$17,1)</f>
        <v/>
      </c>
      <c r="O20" s="13">
        <f>I20*INDEX(Factors!$B$15:$B$17,2)</f>
        <v/>
      </c>
      <c r="P20" s="13">
        <f>I20*INDEX(Factors!$B$15:$B$17,3)</f>
        <v/>
      </c>
    </row>
    <row r="21">
      <c r="A21" s="8">
        <f>Inputs!A23</f>
        <v/>
      </c>
      <c r="B21" s="11">
        <f>Inputs!B23</f>
        <v/>
      </c>
      <c r="C21" s="8">
        <f>Inputs!C23</f>
        <v/>
      </c>
      <c r="D21" s="8">
        <f>Inputs!D23</f>
        <v/>
      </c>
      <c r="E21" s="11">
        <f>IF(Inputs!D23&lt;&gt;"", Inputs!D23, Inputs!C23*Factors!$B$9/1000)</f>
        <v/>
      </c>
      <c r="F21" s="11">
        <f>Inputs!E23</f>
        <v/>
      </c>
      <c r="G21" s="11">
        <f>Inputs!F23</f>
        <v/>
      </c>
      <c r="H21" s="8">
        <f>Inputs!G23</f>
        <v/>
      </c>
      <c r="I21" s="12">
        <f>E21*Factors!$B$5 + F21*Factors!$B$6</f>
        <v/>
      </c>
      <c r="J21" s="12">
        <f>B21*Factors!$B$8</f>
        <v/>
      </c>
      <c r="K21" s="12">
        <f>G21*Factors!$B$7</f>
        <v/>
      </c>
      <c r="L21" s="12">
        <f>I21+J21+K21</f>
        <v/>
      </c>
      <c r="M21" s="13">
        <f>I21*(INDEX(Factors!$B$15:$B$17, MATCH(Inputs!$B$3, Factors!$A$15:$A$17, 0)))</f>
        <v/>
      </c>
      <c r="N21" s="13">
        <f>I21*INDEX(Factors!$B$15:$B$17,1)</f>
        <v/>
      </c>
      <c r="O21" s="13">
        <f>I21*INDEX(Factors!$B$15:$B$17,2)</f>
        <v/>
      </c>
      <c r="P21" s="13">
        <f>I21*INDEX(Factors!$B$15:$B$17,3)</f>
        <v/>
      </c>
    </row>
    <row r="22">
      <c r="A22" s="8">
        <f>Inputs!A24</f>
        <v/>
      </c>
      <c r="B22" s="11">
        <f>Inputs!B24</f>
        <v/>
      </c>
      <c r="C22" s="8">
        <f>Inputs!C24</f>
        <v/>
      </c>
      <c r="D22" s="8">
        <f>Inputs!D24</f>
        <v/>
      </c>
      <c r="E22" s="11">
        <f>IF(Inputs!D24&lt;&gt;"", Inputs!D24, Inputs!C24*Factors!$B$9/1000)</f>
        <v/>
      </c>
      <c r="F22" s="11">
        <f>Inputs!E24</f>
        <v/>
      </c>
      <c r="G22" s="11">
        <f>Inputs!F24</f>
        <v/>
      </c>
      <c r="H22" s="8">
        <f>Inputs!G24</f>
        <v/>
      </c>
      <c r="I22" s="12">
        <f>E22*Factors!$B$5 + F22*Factors!$B$6</f>
        <v/>
      </c>
      <c r="J22" s="12">
        <f>B22*Factors!$B$8</f>
        <v/>
      </c>
      <c r="K22" s="12">
        <f>G22*Factors!$B$7</f>
        <v/>
      </c>
      <c r="L22" s="12">
        <f>I22+J22+K22</f>
        <v/>
      </c>
      <c r="M22" s="13">
        <f>I22*(INDEX(Factors!$B$15:$B$17, MATCH(Inputs!$B$3, Factors!$A$15:$A$17, 0)))</f>
        <v/>
      </c>
      <c r="N22" s="13">
        <f>I22*INDEX(Factors!$B$15:$B$17,1)</f>
        <v/>
      </c>
      <c r="O22" s="13">
        <f>I22*INDEX(Factors!$B$15:$B$17,2)</f>
        <v/>
      </c>
      <c r="P22" s="13">
        <f>I22*INDEX(Factors!$B$15:$B$17,3)</f>
        <v/>
      </c>
    </row>
    <row r="23">
      <c r="A23" s="8">
        <f>Inputs!A25</f>
        <v/>
      </c>
      <c r="B23" s="11">
        <f>Inputs!B25</f>
        <v/>
      </c>
      <c r="C23" s="8">
        <f>Inputs!C25</f>
        <v/>
      </c>
      <c r="D23" s="8">
        <f>Inputs!D25</f>
        <v/>
      </c>
      <c r="E23" s="11">
        <f>IF(Inputs!D25&lt;&gt;"", Inputs!D25, Inputs!C25*Factors!$B$9/1000)</f>
        <v/>
      </c>
      <c r="F23" s="11">
        <f>Inputs!E25</f>
        <v/>
      </c>
      <c r="G23" s="11">
        <f>Inputs!F25</f>
        <v/>
      </c>
      <c r="H23" s="8">
        <f>Inputs!G25</f>
        <v/>
      </c>
      <c r="I23" s="12">
        <f>E23*Factors!$B$5 + F23*Factors!$B$6</f>
        <v/>
      </c>
      <c r="J23" s="12">
        <f>B23*Factors!$B$8</f>
        <v/>
      </c>
      <c r="K23" s="12">
        <f>G23*Factors!$B$7</f>
        <v/>
      </c>
      <c r="L23" s="12">
        <f>I23+J23+K23</f>
        <v/>
      </c>
      <c r="M23" s="13">
        <f>I23*(INDEX(Factors!$B$15:$B$17, MATCH(Inputs!$B$3, Factors!$A$15:$A$17, 0)))</f>
        <v/>
      </c>
      <c r="N23" s="13">
        <f>I23*INDEX(Factors!$B$15:$B$17,1)</f>
        <v/>
      </c>
      <c r="O23" s="13">
        <f>I23*INDEX(Factors!$B$15:$B$17,2)</f>
        <v/>
      </c>
      <c r="P23" s="13">
        <f>I23*INDEX(Factors!$B$15:$B$17,3)</f>
        <v/>
      </c>
    </row>
    <row r="24">
      <c r="A24" s="8">
        <f>Inputs!A26</f>
        <v/>
      </c>
      <c r="B24" s="11">
        <f>Inputs!B26</f>
        <v/>
      </c>
      <c r="C24" s="8">
        <f>Inputs!C26</f>
        <v/>
      </c>
      <c r="D24" s="8">
        <f>Inputs!D26</f>
        <v/>
      </c>
      <c r="E24" s="11">
        <f>IF(Inputs!D26&lt;&gt;"", Inputs!D26, Inputs!C26*Factors!$B$9/1000)</f>
        <v/>
      </c>
      <c r="F24" s="11">
        <f>Inputs!E26</f>
        <v/>
      </c>
      <c r="G24" s="11">
        <f>Inputs!F26</f>
        <v/>
      </c>
      <c r="H24" s="8">
        <f>Inputs!G26</f>
        <v/>
      </c>
      <c r="I24" s="12">
        <f>E24*Factors!$B$5 + F24*Factors!$B$6</f>
        <v/>
      </c>
      <c r="J24" s="12">
        <f>B24*Factors!$B$8</f>
        <v/>
      </c>
      <c r="K24" s="12">
        <f>G24*Factors!$B$7</f>
        <v/>
      </c>
      <c r="L24" s="12">
        <f>I24+J24+K24</f>
        <v/>
      </c>
      <c r="M24" s="13">
        <f>I24*(INDEX(Factors!$B$15:$B$17, MATCH(Inputs!$B$3, Factors!$A$15:$A$17, 0)))</f>
        <v/>
      </c>
      <c r="N24" s="13">
        <f>I24*INDEX(Factors!$B$15:$B$17,1)</f>
        <v/>
      </c>
      <c r="O24" s="13">
        <f>I24*INDEX(Factors!$B$15:$B$17,2)</f>
        <v/>
      </c>
      <c r="P24" s="13">
        <f>I24*INDEX(Factors!$B$15:$B$17,3)</f>
        <v/>
      </c>
    </row>
    <row r="25">
      <c r="A25" s="8">
        <f>Inputs!A27</f>
        <v/>
      </c>
      <c r="B25" s="11">
        <f>Inputs!B27</f>
        <v/>
      </c>
      <c r="C25" s="8">
        <f>Inputs!C27</f>
        <v/>
      </c>
      <c r="D25" s="8">
        <f>Inputs!D27</f>
        <v/>
      </c>
      <c r="E25" s="11">
        <f>IF(Inputs!D27&lt;&gt;"", Inputs!D27, Inputs!C27*Factors!$B$9/1000)</f>
        <v/>
      </c>
      <c r="F25" s="11">
        <f>Inputs!E27</f>
        <v/>
      </c>
      <c r="G25" s="11">
        <f>Inputs!F27</f>
        <v/>
      </c>
      <c r="H25" s="8">
        <f>Inputs!G27</f>
        <v/>
      </c>
      <c r="I25" s="12">
        <f>E25*Factors!$B$5 + F25*Factors!$B$6</f>
        <v/>
      </c>
      <c r="J25" s="12">
        <f>B25*Factors!$B$8</f>
        <v/>
      </c>
      <c r="K25" s="12">
        <f>G25*Factors!$B$7</f>
        <v/>
      </c>
      <c r="L25" s="12">
        <f>I25+J25+K25</f>
        <v/>
      </c>
      <c r="M25" s="13">
        <f>I25*(INDEX(Factors!$B$15:$B$17, MATCH(Inputs!$B$3, Factors!$A$15:$A$17, 0)))</f>
        <v/>
      </c>
      <c r="N25" s="13">
        <f>I25*INDEX(Factors!$B$15:$B$17,1)</f>
        <v/>
      </c>
      <c r="O25" s="13">
        <f>I25*INDEX(Factors!$B$15:$B$17,2)</f>
        <v/>
      </c>
      <c r="P25" s="13">
        <f>I25*INDEX(Factors!$B$15:$B$17,3)</f>
        <v/>
      </c>
    </row>
    <row r="26">
      <c r="A26" s="8">
        <f>Inputs!A28</f>
        <v/>
      </c>
      <c r="B26" s="11">
        <f>Inputs!B28</f>
        <v/>
      </c>
      <c r="C26" s="8">
        <f>Inputs!C28</f>
        <v/>
      </c>
      <c r="D26" s="8">
        <f>Inputs!D28</f>
        <v/>
      </c>
      <c r="E26" s="11">
        <f>IF(Inputs!D28&lt;&gt;"", Inputs!D28, Inputs!C28*Factors!$B$9/1000)</f>
        <v/>
      </c>
      <c r="F26" s="11">
        <f>Inputs!E28</f>
        <v/>
      </c>
      <c r="G26" s="11">
        <f>Inputs!F28</f>
        <v/>
      </c>
      <c r="H26" s="8">
        <f>Inputs!G28</f>
        <v/>
      </c>
      <c r="I26" s="12">
        <f>E26*Factors!$B$5 + F26*Factors!$B$6</f>
        <v/>
      </c>
      <c r="J26" s="12">
        <f>B26*Factors!$B$8</f>
        <v/>
      </c>
      <c r="K26" s="12">
        <f>G26*Factors!$B$7</f>
        <v/>
      </c>
      <c r="L26" s="12">
        <f>I26+J26+K26</f>
        <v/>
      </c>
      <c r="M26" s="13">
        <f>I26*(INDEX(Factors!$B$15:$B$17, MATCH(Inputs!$B$3, Factors!$A$15:$A$17, 0)))</f>
        <v/>
      </c>
      <c r="N26" s="13">
        <f>I26*INDEX(Factors!$B$15:$B$17,1)</f>
        <v/>
      </c>
      <c r="O26" s="13">
        <f>I26*INDEX(Factors!$B$15:$B$17,2)</f>
        <v/>
      </c>
      <c r="P26" s="13">
        <f>I26*INDEX(Factors!$B$15:$B$17,3)</f>
        <v/>
      </c>
    </row>
    <row r="27">
      <c r="A27" s="8">
        <f>Inputs!A29</f>
        <v/>
      </c>
      <c r="B27" s="11">
        <f>Inputs!B29</f>
        <v/>
      </c>
      <c r="C27" s="8">
        <f>Inputs!C29</f>
        <v/>
      </c>
      <c r="D27" s="8">
        <f>Inputs!D29</f>
        <v/>
      </c>
      <c r="E27" s="11">
        <f>IF(Inputs!D29&lt;&gt;"", Inputs!D29, Inputs!C29*Factors!$B$9/1000)</f>
        <v/>
      </c>
      <c r="F27" s="11">
        <f>Inputs!E29</f>
        <v/>
      </c>
      <c r="G27" s="11">
        <f>Inputs!F29</f>
        <v/>
      </c>
      <c r="H27" s="8">
        <f>Inputs!G29</f>
        <v/>
      </c>
      <c r="I27" s="12">
        <f>E27*Factors!$B$5 + F27*Factors!$B$6</f>
        <v/>
      </c>
      <c r="J27" s="12">
        <f>B27*Factors!$B$8</f>
        <v/>
      </c>
      <c r="K27" s="12">
        <f>G27*Factors!$B$7</f>
        <v/>
      </c>
      <c r="L27" s="12">
        <f>I27+J27+K27</f>
        <v/>
      </c>
      <c r="M27" s="13">
        <f>I27*(INDEX(Factors!$B$15:$B$17, MATCH(Inputs!$B$3, Factors!$A$15:$A$17, 0)))</f>
        <v/>
      </c>
      <c r="N27" s="13">
        <f>I27*INDEX(Factors!$B$15:$B$17,1)</f>
        <v/>
      </c>
      <c r="O27" s="13">
        <f>I27*INDEX(Factors!$B$15:$B$17,2)</f>
        <v/>
      </c>
      <c r="P27" s="13">
        <f>I27*INDEX(Factors!$B$15:$B$17,3)</f>
        <v/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Dashboard (decision summary)</t>
        </is>
      </c>
    </row>
    <row r="3">
      <c r="A3" s="4" t="inlineStr">
        <is>
          <t>Summary</t>
        </is>
      </c>
      <c r="D3" s="4" t="inlineStr">
        <is>
          <t>Breakdown</t>
        </is>
      </c>
      <c r="E3" s="4" t="inlineStr">
        <is>
          <t>ETS cost sensitivity</t>
        </is>
      </c>
    </row>
    <row r="4">
      <c r="A4" s="14" t="inlineStr">
        <is>
          <t>Total Scope 1 emissions (tCO₂)</t>
        </is>
      </c>
      <c r="B4" s="15">
        <f>SUM(Calc!I4:I27)</f>
        <v/>
      </c>
      <c r="D4" t="inlineStr">
        <is>
          <t>Scope 1</t>
        </is>
      </c>
      <c r="E4" s="16">
        <f>B4</f>
        <v/>
      </c>
      <c r="F4" s="5" t="inlineStr">
        <is>
          <t>EUA (€/tCO₂)</t>
        </is>
      </c>
      <c r="G4" s="5" t="inlineStr">
        <is>
          <t>ETS cost (€)</t>
        </is>
      </c>
      <c r="H4" s="5" t="inlineStr">
        <is>
          <t>Notes</t>
        </is>
      </c>
    </row>
    <row r="5">
      <c r="A5" s="14" t="inlineStr">
        <is>
          <t>Total ETS cost (selected scenario) (€)</t>
        </is>
      </c>
      <c r="B5" s="17">
        <f>SUM(Calc!M4:M27)</f>
        <v/>
      </c>
      <c r="D5" t="inlineStr">
        <is>
          <t>Scope 2</t>
        </is>
      </c>
      <c r="E5" s="12">
        <f>B6</f>
        <v/>
      </c>
      <c r="F5" s="18">
        <f>Factors!B15</f>
        <v/>
      </c>
      <c r="G5" s="13">
        <f>$B$4*F5</f>
        <v/>
      </c>
      <c r="H5" s="8">
        <f>Factors!C15</f>
        <v/>
      </c>
    </row>
    <row r="6">
      <c r="A6" s="14" t="inlineStr">
        <is>
          <t>Total Scope 2 emissions (tCO₂)</t>
        </is>
      </c>
      <c r="B6" s="15">
        <f>SUM(Calc!J4:J27)</f>
        <v/>
      </c>
      <c r="D6" t="inlineStr">
        <is>
          <t>Steam</t>
        </is>
      </c>
      <c r="E6" s="12">
        <f>SUM(Calc!K4:K27)</f>
        <v/>
      </c>
      <c r="F6" s="18">
        <f>Factors!B16</f>
        <v/>
      </c>
      <c r="G6" s="13">
        <f>$B$4*F6</f>
        <v/>
      </c>
      <c r="H6" s="8">
        <f>Factors!C16</f>
        <v/>
      </c>
    </row>
    <row r="7">
      <c r="A7" s="14" t="inlineStr">
        <is>
          <t>Total emissions (tCO₂)</t>
        </is>
      </c>
      <c r="B7" s="15">
        <f>SUM(Calc!L4:L27)</f>
        <v/>
      </c>
      <c r="E7" s="8">
        <f>Factors!A17</f>
        <v/>
      </c>
      <c r="F7" s="18">
        <f>Factors!B17</f>
        <v/>
      </c>
      <c r="G7" s="13">
        <f>$B$4*F7</f>
        <v/>
      </c>
      <c r="H7" s="8">
        <f>Factors!C17</f>
        <v/>
      </c>
    </row>
    <row r="9">
      <c r="A9" s="4" t="inlineStr">
        <is>
          <t>Top levers (guide)</t>
        </is>
      </c>
    </row>
    <row r="10">
      <c r="A10" s="19" t="inlineStr">
        <is>
          <t>1) Reduce fuel use (Scope 1): efficiency, maintenance, combustion tuning, leak reduction.</t>
        </is>
      </c>
    </row>
    <row r="11">
      <c r="A11" s="19" t="inlineStr">
        <is>
          <t>2) Recover heat / optimize steam: waste heat recovery, steam trap program, insulation.</t>
        </is>
      </c>
    </row>
    <row r="12">
      <c r="A12" s="19" t="inlineStr">
        <is>
          <t>3) Flexibility &amp; markets: shift load to lower price hours, reduce peaks, demand response.</t>
        </is>
      </c>
    </row>
  </sheetData>
  <mergeCells count="7">
    <mergeCell ref="A10:C10"/>
    <mergeCell ref="A11:C11"/>
    <mergeCell ref="E3:H3"/>
    <mergeCell ref="A9:C9"/>
    <mergeCell ref="A3:C3"/>
    <mergeCell ref="A1:H1"/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2026-03-01T04:29:17Z</dcterms:created>
  <dcterms:modified xmlns:dcterms="http://purl.org/dc/terms/" xmlns:xsi="http://www.w3.org/2001/XMLSchema-instance" xsi:type="dcterms:W3CDTF">2026-03-01T06:22:10Z</dcterms:modified>
</cp:coreProperties>
</file>